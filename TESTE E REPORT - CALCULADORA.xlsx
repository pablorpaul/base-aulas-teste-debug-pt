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port" sheetId="2" r:id="rId6"/>
    <sheet state="visible" name="CT" sheetId="3" r:id="rId7"/>
  </sheets>
  <definedNames/>
  <calcPr/>
</workbook>
</file>

<file path=xl/sharedStrings.xml><?xml version="1.0" encoding="utf-8"?>
<sst xmlns="http://schemas.openxmlformats.org/spreadsheetml/2006/main" count="202" uniqueCount="150">
  <si>
    <t>Resumo</t>
  </si>
  <si>
    <t>Bugs encontrados</t>
  </si>
  <si>
    <t>Crítico</t>
  </si>
  <si>
    <t>Alto</t>
  </si>
  <si>
    <t>Médio</t>
  </si>
  <si>
    <t>Baixo</t>
  </si>
  <si>
    <t>Bugs status</t>
  </si>
  <si>
    <t>Aberto</t>
  </si>
  <si>
    <t>Dev</t>
  </si>
  <si>
    <t>Reteste</t>
  </si>
  <si>
    <t>Corrigido</t>
  </si>
  <si>
    <t>Impedimento</t>
  </si>
  <si>
    <t>Fora de Escopo</t>
  </si>
  <si>
    <t>Duplicado</t>
  </si>
  <si>
    <t>Data: 27/03/2024</t>
  </si>
  <si>
    <t>Relatório final testes XPTO</t>
  </si>
  <si>
    <t>Este documento tem como objetivo auxilair na correção dos bugs, o detalhamento e passos deverá ser consultado no CT desta planilha.</t>
  </si>
  <si>
    <t>Nº</t>
  </si>
  <si>
    <t>Titulo</t>
  </si>
  <si>
    <t>CT</t>
  </si>
  <si>
    <t>Risco/Prioridade</t>
  </si>
  <si>
    <t>Descrição</t>
  </si>
  <si>
    <t>Observações</t>
  </si>
  <si>
    <t>Estado</t>
  </si>
  <si>
    <t>Erro ao cadastrar usuario normal</t>
  </si>
  <si>
    <t>A mensagem retornada é de sucesso, porém não traz o status 201 e sim o 200.</t>
  </si>
  <si>
    <t>Não há necessidade de ajuste, apenas padronização</t>
  </si>
  <si>
    <t>Erro ao cadastrar usuario com email inválido</t>
  </si>
  <si>
    <t>O sistema realiza o cadastro de um usuário com um email inválido (sem @). 
Deverá ser revalidado a função de Create da pessoa, para validar o email.</t>
  </si>
  <si>
    <t>Não deverá ser liberado sem esta correção</t>
  </si>
  <si>
    <t>Após a correção ele valida apenas emails com @, mas não confere .com por exemplo</t>
  </si>
  <si>
    <t>Cadastrou o usuário com o email errado.</t>
  </si>
  <si>
    <t>Aparecer mensagem de erro 500 (internal server error)</t>
  </si>
  <si>
    <t xml:space="preserve">mensagem: [] Server status: 201
</t>
  </si>
  <si>
    <t>Mensagem de erro endereço não encontrado</t>
  </si>
  <si>
    <t>Cadastra pessoa (no primeiro ID disponível) com mesmos dados de outra que já está cadastrada</t>
  </si>
  <si>
    <t>Autor: Renan Ponick</t>
  </si>
  <si>
    <t>Casos de teste para Calculadora</t>
  </si>
  <si>
    <t xml:space="preserve">Links:  </t>
  </si>
  <si>
    <t>Obj: Realizar os testes referentes a soma, subtração, multiplicar e dividir da calculadora.</t>
  </si>
  <si>
    <t>Obs:</t>
  </si>
  <si>
    <t>Rotina (O que)</t>
  </si>
  <si>
    <t>Execução</t>
  </si>
  <si>
    <t>#</t>
  </si>
  <si>
    <t>Passo/Combinações</t>
  </si>
  <si>
    <t>Resultado Esperado</t>
  </si>
  <si>
    <t>Executado</t>
  </si>
  <si>
    <t>Calculadora</t>
  </si>
  <si>
    <t>Adição</t>
  </si>
  <si>
    <t>Chamar a função somar, e enviar como primeiro parametro 2, como segundo parametro 95</t>
  </si>
  <si>
    <t>A função irá retornar 97</t>
  </si>
  <si>
    <t xml:space="preserve"> Chamar a função somar, e enviar como primeiro parametro -5, como segundo parametro 10</t>
  </si>
  <si>
    <t>A função irá retornar 5</t>
  </si>
  <si>
    <t>Chamar a função somar, e enviar como primeiro parametro 10, como segundo parametro -5</t>
  </si>
  <si>
    <t>Chamar a função somar, e enviar como primeiro parametro -5, como segundo parametro -10</t>
  </si>
  <si>
    <t>A função irá retornar -15</t>
  </si>
  <si>
    <t>Chamar a função somar, e enviar como primeiro parametro 0.5, como segundo parametro 1.7</t>
  </si>
  <si>
    <t>A função irá retornar 2.2</t>
  </si>
  <si>
    <t>Chamar a função somar, e enviar como primeiro parametro 'a', como segundo parametro 1</t>
  </si>
  <si>
    <t>A função irá retornar um erro - Enviar somente números</t>
  </si>
  <si>
    <t>Chamar a função somar, e enviar como primeiro parametro 1, como segundo parametro 'a'</t>
  </si>
  <si>
    <t>Chamar a função somar, e enviar como primeiro parametro 0, como segundo parametro 1</t>
  </si>
  <si>
    <t>A função irá retornar 1</t>
  </si>
  <si>
    <t>Chamar a função somar, e enviar como primeiro parametro 1, como segundo parametro 0</t>
  </si>
  <si>
    <t xml:space="preserve">Chamar a função somar sem o primeiro parâmetro </t>
  </si>
  <si>
    <t xml:space="preserve">A função irá retornar um erro - Envie todos os campos!           </t>
  </si>
  <si>
    <t xml:space="preserve">Chamar a função somar sem o segundo parâmetro </t>
  </si>
  <si>
    <t>A função irá retornar um erro - Envie todos os campos!</t>
  </si>
  <si>
    <t>Chamar a função somar sem os dois parâmetros</t>
  </si>
  <si>
    <t>Subtração</t>
  </si>
  <si>
    <t>Chamar a função subtrair, e enviar como primeiro parametro 2, como segundo parametro 95</t>
  </si>
  <si>
    <t>A função irá retornar -93</t>
  </si>
  <si>
    <t xml:space="preserve"> Chamar a função subtrair, e enviar como primeiro parametro -5, como segundo parametro 10</t>
  </si>
  <si>
    <t>Chamar a função subtrair, e enviar como primeiro parametro 10, como segundo parametro -5</t>
  </si>
  <si>
    <t>A função irá retornar 15</t>
  </si>
  <si>
    <t>Chamar a função subtrair, e enviar como primeiro parametro -5, como segundo parametro -10</t>
  </si>
  <si>
    <t>Chamar a função subtrair, e enviar como primeiro parametro 0.5, como segundo parametro 1.7</t>
  </si>
  <si>
    <t>A função irá retornar -1.2</t>
  </si>
  <si>
    <t>Chamar a função subtrair, e enviar como primeiro parametro 'a', como segundo parametro 1</t>
  </si>
  <si>
    <t>Chamar a função subtrair, e enviar como primeiro parametro 1, como segundo parametro 'a'</t>
  </si>
  <si>
    <t>Chamar a função subtrair, e enviar como primeiro parametro 0, como segundo parametro 1</t>
  </si>
  <si>
    <t>A função irá retornar -1</t>
  </si>
  <si>
    <t>Chamar a função subtrair, e enviar como primeiro parametro 1, como segundo parametro 0</t>
  </si>
  <si>
    <t xml:space="preserve">Chamar a função subtrair sem o primeiro parâmetro </t>
  </si>
  <si>
    <t xml:space="preserve">Chamar a função subtrair sem o segundo parâmetro </t>
  </si>
  <si>
    <t>Chamar a função subtrair sem os dois parâmetros</t>
  </si>
  <si>
    <t>Mutiplicação</t>
  </si>
  <si>
    <t>Chamar a função multiplicar, e enviar como primeiro parametro 2, como segundo parametro 95</t>
  </si>
  <si>
    <t>A função irá retornar 190</t>
  </si>
  <si>
    <t xml:space="preserve"> Chamar a função multiplicar, e enviar como primeiro parametro -5, como segundo parametro 10</t>
  </si>
  <si>
    <t>A função irá retornar -50</t>
  </si>
  <si>
    <t>Chamar a função multiplicar, e enviar como primeiro parametro 10, como segundo parametro -5</t>
  </si>
  <si>
    <t>Chamar a função multiplicar, e enviar como primeiro parametro -5, como segundo parametro -10</t>
  </si>
  <si>
    <t>A função irá retornar 50</t>
  </si>
  <si>
    <t>Chamar a função multiplicar, e enviar como primeiro parametro 0.5, como segundo parametro 1.7</t>
  </si>
  <si>
    <t>A função irá retornar 0.85</t>
  </si>
  <si>
    <t>Chamar a função multiplicar, e enviar como primeiro parametro 'a', como segundo parametro 1</t>
  </si>
  <si>
    <t>Chamar a função multiplicar, e enviar como primeiro parametro 1, como segundo parametro 'a'</t>
  </si>
  <si>
    <t>Chamar a função multiplicar, e enviar como primeiro parametro 0, como segundo parametro 1</t>
  </si>
  <si>
    <t>A função irá retornar 0</t>
  </si>
  <si>
    <t>Chamar a função multiplicar, e enviar como primeiro parametro 1, como segundo parametro 0</t>
  </si>
  <si>
    <t xml:space="preserve">Chamar a função multiplicar sem o primeiro parâmetro </t>
  </si>
  <si>
    <t xml:space="preserve">Chamar a função multiplicar sem o segundo parâmetro </t>
  </si>
  <si>
    <t>Chamar a função multiplicar sem os dois parâmetros</t>
  </si>
  <si>
    <t>Divisão</t>
  </si>
  <si>
    <t>Chamar a função dividir, e enviar como primeiro parametro 2, como segundo parametro 95</t>
  </si>
  <si>
    <t>A função irá retornar 0.02105263157</t>
  </si>
  <si>
    <t xml:space="preserve"> Chamar a função dividir, e enviar como primeiro parametro -5, como segundo parametro 10</t>
  </si>
  <si>
    <t>A função irá retornar -0.5</t>
  </si>
  <si>
    <t>Chamar a função dividir, e enviar como primeiro parametro 10, como segundo parametro -5</t>
  </si>
  <si>
    <t>A função irá retornar -2</t>
  </si>
  <si>
    <t>Chamar a função dividir, e enviar como primeiro parametro -5, como segundo parametro -10</t>
  </si>
  <si>
    <t>Chamar a função dividir, e enviar como primeiro parametro 0.5, como segundo parametro 1.7</t>
  </si>
  <si>
    <t>A função irá retornar 0.2941176</t>
  </si>
  <si>
    <t>Chamar a função dividir, e enviar como primeiro parametro 'a', como segundo parametro 1</t>
  </si>
  <si>
    <t>Chamar a função dividir, e enviar como primeiro parametro 1, como segundo parametro 'a'</t>
  </si>
  <si>
    <t>Chamar a função dividir, e enviar como primeiro parametro 0, como segundo parametro 1</t>
  </si>
  <si>
    <t>Chamar a função dividir, e enviar como primeiro parametro 1, como segundo parametro 0</t>
  </si>
  <si>
    <t>A função irá retornar Undefined</t>
  </si>
  <si>
    <t xml:space="preserve">Chamar a função dividir sem o primeiro parâmetro </t>
  </si>
  <si>
    <t xml:space="preserve">Chamar a função dividir sem o segundo parâmetro </t>
  </si>
  <si>
    <t>Chamar a função dividir sem os dois parâmetros</t>
  </si>
  <si>
    <t>Potencia</t>
  </si>
  <si>
    <t>Chamar a função potencia, e enviar como primeiro parametro 2, como segundo parametro 5</t>
  </si>
  <si>
    <t>A função irá retornar 32</t>
  </si>
  <si>
    <t xml:space="preserve"> Chamar a função potencia, e enviar como primeiro parametro -5, como segundo parametro 5</t>
  </si>
  <si>
    <t>A função irá retornar -3125</t>
  </si>
  <si>
    <t>Chamar a função potencia, e enviar como primeiro parametro 10, como segundo parametro -2</t>
  </si>
  <si>
    <t>A função irá retornar 0.01</t>
  </si>
  <si>
    <t>Chamar a função potencia, e enviar como primeiro parametro -5, como segundo parametro -2</t>
  </si>
  <si>
    <t>A função irá retornar 0.04</t>
  </si>
  <si>
    <t>Chamar a função potencia, e enviar como primeiro parametro 0.5, como segundo parametro 2</t>
  </si>
  <si>
    <t>A função irá retornar 0.25</t>
  </si>
  <si>
    <t>Chamar a função potencia, e enviar como primeiro parametro 'a', como segundo parametro 1</t>
  </si>
  <si>
    <t>Chamar a função potencia, e enviar como primeiro parametro 1, como segundo parametro 'a'</t>
  </si>
  <si>
    <t>Chamar a função potencia, e enviar como primeiro parametro 0, como segundo parametro 1</t>
  </si>
  <si>
    <t>Chamar a função potencia, e enviar como primeiro parametro 1, como segundo parametro 0</t>
  </si>
  <si>
    <t xml:space="preserve">Chamar a função potencia sem o primeiro parâmetro </t>
  </si>
  <si>
    <t xml:space="preserve">Chamar a função potencia sem o segundo parâmetro </t>
  </si>
  <si>
    <t>Chamar a função potencia sem os dois parâmetros</t>
  </si>
  <si>
    <t>Raiz</t>
  </si>
  <si>
    <t>Chamar a função raiz, e enviar como parametro 4</t>
  </si>
  <si>
    <t>A função irá retornar 2</t>
  </si>
  <si>
    <t>Chamar a função raiz, e enviar como parametro -9</t>
  </si>
  <si>
    <t>A função irá retornar erro - Não é possível calcular a raiz de um número negativo</t>
  </si>
  <si>
    <t>Chamar a função raiz, e enviar como parametro 1.8</t>
  </si>
  <si>
    <t>A função irá retornar 1.3416407864998738</t>
  </si>
  <si>
    <t>Chamar a função raiz, e enviar como parametro 'a'</t>
  </si>
  <si>
    <t>Chamar a função raiz, e enviar como parametro 0</t>
  </si>
  <si>
    <t>Chamar a função raiz sem o parâmetro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</si>
</sst>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4.0"/>
      <color rgb="FFF3F3F3"/>
      <name val="Cambria"/>
    </font>
    <font>
      <sz val="14.0"/>
      <color rgb="FFF3F3F3"/>
      <name val="Cambria"/>
    </font>
    <font>
      <color theme="1"/>
      <name val="Arial"/>
    </font>
    <font>
      <color rgb="FF000000"/>
      <name val="Arial"/>
    </font>
    <font>
      <sz val="12.0"/>
      <color rgb="FFFFFFFF"/>
      <name val="Calibri"/>
    </font>
    <font>
      <b/>
      <sz val="11.0"/>
      <color rgb="FFFFFFFF"/>
      <name val="Calibri"/>
    </font>
    <font>
      <sz val="10.0"/>
      <color theme="1"/>
      <name val="Arial"/>
    </font>
    <font>
      <sz val="10.0"/>
      <color rgb="FF444746"/>
      <name val="Arial"/>
    </font>
    <font>
      <sz val="10.0"/>
      <color rgb="FF000000"/>
      <name val="Arial"/>
    </font>
    <font>
      <sz val="12.0"/>
      <color rgb="FFFFFFFF"/>
      <name val="Cambria"/>
    </font>
    <font>
      <sz val="11.0"/>
      <color rgb="FFFFFFFF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1"/>
    </xf>
    <xf borderId="0" fillId="3" fontId="3" numFmtId="3" xfId="0" applyAlignment="1" applyFill="1" applyFont="1" applyNumberFormat="1">
      <alignment horizontal="center" readingOrder="0" shrinkToFit="0" vertical="center" wrapText="1"/>
    </xf>
    <xf borderId="0" fillId="3" fontId="3" numFmtId="4" xfId="0" applyAlignment="1" applyFont="1" applyNumberFormat="1">
      <alignment horizontal="left"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shrinkToFit="0" vertical="bottom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0" fillId="3" fontId="4" numFmtId="4" xfId="0" applyAlignment="1" applyFont="1" applyNumberFormat="1">
      <alignment horizontal="left" readingOrder="0"/>
    </xf>
    <xf borderId="0" fillId="3" fontId="3" numFmtId="1" xfId="0" applyAlignment="1" applyFont="1" applyNumberFormat="1">
      <alignment horizontal="center" readingOrder="0" shrinkToFit="0" vertical="center" wrapText="1"/>
    </xf>
    <xf borderId="0" fillId="3" fontId="3" numFmtId="4" xfId="0" applyAlignment="1" applyFont="1" applyNumberFormat="1">
      <alignment readingOrder="0" shrinkToFit="0" wrapText="1"/>
    </xf>
    <xf borderId="0" fillId="3" fontId="3" numFmtId="4" xfId="0" applyAlignment="1" applyFont="1" applyNumberFormat="1">
      <alignment shrinkToFit="0" wrapText="1"/>
    </xf>
    <xf borderId="1" fillId="3" fontId="3" numFmtId="1" xfId="0" applyAlignment="1" applyBorder="1" applyFont="1" applyNumberFormat="1">
      <alignment horizontal="center" readingOrder="0" shrinkToFit="0" vertical="center" wrapText="1"/>
    </xf>
    <xf borderId="0" fillId="4" fontId="5" numFmtId="0" xfId="0" applyAlignment="1" applyFill="1" applyFont="1">
      <alignment readingOrder="0" vertical="bottom"/>
    </xf>
    <xf borderId="0" fillId="5" fontId="2" numFmtId="0" xfId="0" applyAlignment="1" applyFill="1" applyFont="1">
      <alignment horizontal="center" readingOrder="0" shrinkToFit="0" vertical="bottom" wrapText="1"/>
    </xf>
    <xf borderId="1" fillId="6" fontId="6" numFmtId="0" xfId="0" applyAlignment="1" applyBorder="1" applyFill="1" applyFont="1">
      <alignment horizontal="center" readingOrder="0" vertical="bottom"/>
    </xf>
    <xf borderId="1" fillId="3" fontId="7" numFmtId="3" xfId="0" applyAlignment="1" applyBorder="1" applyFont="1" applyNumberFormat="1">
      <alignment horizontal="center" readingOrder="0" shrinkToFit="0" vertical="center" wrapText="1"/>
    </xf>
    <xf borderId="1" fillId="3" fontId="7" numFmtId="1" xfId="0" applyAlignment="1" applyBorder="1" applyFont="1" applyNumberFormat="1">
      <alignment horizontal="center" readingOrder="0" shrinkToFit="0" vertical="center" wrapText="1"/>
    </xf>
    <xf borderId="1" fillId="3" fontId="7" numFmtId="4" xfId="0" applyAlignment="1" applyBorder="1" applyFont="1" applyNumberFormat="1">
      <alignment horizontal="left" readingOrder="0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3" fontId="8" numFmtId="4" xfId="0" applyAlignment="1" applyBorder="1" applyFont="1" applyNumberFormat="1">
      <alignment horizontal="left" readingOrder="0"/>
    </xf>
    <xf borderId="1" fillId="3" fontId="9" numFmtId="1" xfId="0" applyAlignment="1" applyBorder="1" applyFont="1" applyNumberFormat="1">
      <alignment horizontal="left" readingOrder="0"/>
    </xf>
    <xf borderId="1" fillId="3" fontId="9" numFmtId="4" xfId="0" applyAlignment="1" applyBorder="1" applyFont="1" applyNumberFormat="1">
      <alignment horizontal="left" readingOrder="0"/>
    </xf>
    <xf borderId="1" fillId="3" fontId="3" numFmtId="3" xfId="0" applyAlignment="1" applyBorder="1" applyFont="1" applyNumberFormat="1">
      <alignment horizontal="center" readingOrder="0" shrinkToFit="0" vertical="center" wrapText="1"/>
    </xf>
    <xf borderId="1" fillId="3" fontId="3" numFmtId="4" xfId="0" applyAlignment="1" applyBorder="1" applyFont="1" applyNumberFormat="1">
      <alignment horizontal="left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4" xfId="0" applyAlignment="1" applyBorder="1" applyFont="1" applyNumberFormat="1">
      <alignment readingOrder="0" shrinkToFit="0" wrapText="1"/>
    </xf>
    <xf borderId="1" fillId="3" fontId="3" numFmtId="4" xfId="0" applyAlignment="1" applyBorder="1" applyFont="1" applyNumberFormat="1">
      <alignment shrinkToFit="0" wrapText="1"/>
    </xf>
    <xf borderId="0" fillId="5" fontId="10" numFmtId="0" xfId="0" applyAlignment="1" applyFont="1">
      <alignment horizontal="left" readingOrder="0" vertical="top"/>
    </xf>
    <xf borderId="0" fillId="6" fontId="11" numFmtId="0" xfId="0" applyAlignment="1" applyFont="1">
      <alignment readingOrder="0" shrinkToFit="0" vertical="bottom" wrapText="1"/>
    </xf>
    <xf borderId="1" fillId="6" fontId="6" numFmtId="0" xfId="0" applyAlignment="1" applyBorder="1" applyFont="1">
      <alignment horizontal="center" vertical="bottom"/>
    </xf>
    <xf borderId="2" fillId="3" fontId="3" numFmtId="4" xfId="0" applyAlignment="1" applyBorder="1" applyFont="1" applyNumberFormat="1">
      <alignment horizontal="center" shrinkToFit="0" vertical="center" wrapText="1"/>
    </xf>
    <xf borderId="1" fillId="3" fontId="3" numFmtId="3" xfId="0" applyAlignment="1" applyBorder="1" applyFont="1" applyNumberFormat="1">
      <alignment horizontal="center" shrinkToFit="0" wrapText="1"/>
    </xf>
    <xf borderId="1" fillId="3" fontId="3" numFmtId="0" xfId="0" applyAlignment="1" applyBorder="1" applyFont="1">
      <alignment horizontal="center"/>
    </xf>
    <xf borderId="3" fillId="0" fontId="12" numFmtId="0" xfId="0" applyBorder="1" applyFont="1"/>
    <xf borderId="4" fillId="0" fontId="12" numFmtId="0" xfId="0" applyBorder="1" applyFont="1"/>
    <xf borderId="0" fillId="3" fontId="3" numFmtId="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/>
    </xf>
    <xf borderId="2" fillId="3" fontId="3" numFmtId="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Resumo!$C$5</c:f>
            </c:strRef>
          </c:tx>
          <c:dPt>
            <c:idx val="0"/>
            <c:spPr>
              <a:solidFill>
                <a:srgbClr val="674EA7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Resumo!$B$6:$B$9</c:f>
            </c:strRef>
          </c:cat>
          <c:val>
            <c:numRef>
              <c:f>Resumo!$C$6:$C$9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Resumo!$C$15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Resumo!$B$16:$B$22</c:f>
            </c:strRef>
          </c:cat>
          <c:val>
            <c:numRef>
              <c:f>Resumo!$C$16:$C$22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</xdr:row>
      <xdr:rowOff>133350</xdr:rowOff>
    </xdr:from>
    <xdr:ext cx="3533775" cy="21812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714375</xdr:colOff>
      <xdr:row>13</xdr:row>
      <xdr:rowOff>28575</xdr:rowOff>
    </xdr:from>
    <xdr:ext cx="3533775" cy="21812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3.5"/>
    <col customWidth="1" min="3" max="3" width="9.13"/>
    <col customWidth="1" min="4" max="4" width="11.88"/>
    <col customWidth="1" min="5" max="5" width="30.13"/>
    <col customWidth="1" min="6" max="6" width="20.75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2"/>
      <c r="D3" s="2"/>
      <c r="E3" s="2"/>
      <c r="F3" s="2"/>
    </row>
    <row r="4">
      <c r="A4" s="3"/>
      <c r="D4" s="3"/>
      <c r="E4" s="4"/>
      <c r="F4" s="5"/>
    </row>
    <row r="5">
      <c r="A5" s="3"/>
      <c r="B5" s="6" t="s">
        <v>1</v>
      </c>
      <c r="D5" s="3"/>
      <c r="E5" s="4"/>
      <c r="F5" s="5"/>
    </row>
    <row r="6">
      <c r="A6" s="3"/>
      <c r="B6" s="7" t="s">
        <v>2</v>
      </c>
      <c r="C6" s="7">
        <v>5.0</v>
      </c>
      <c r="D6" s="3"/>
      <c r="E6" s="4"/>
      <c r="F6" s="5"/>
    </row>
    <row r="7">
      <c r="A7" s="3"/>
      <c r="B7" s="7" t="s">
        <v>3</v>
      </c>
      <c r="C7" s="7">
        <f>CountIf(Report!$D$4:$D$25, B7)</f>
        <v>0</v>
      </c>
      <c r="D7" s="3"/>
      <c r="E7" s="4"/>
      <c r="F7" s="5"/>
    </row>
    <row r="8">
      <c r="A8" s="3"/>
      <c r="B8" s="7" t="s">
        <v>4</v>
      </c>
      <c r="C8" s="7">
        <v>4.0</v>
      </c>
      <c r="D8" s="3"/>
      <c r="E8" s="8"/>
      <c r="F8" s="5"/>
    </row>
    <row r="9">
      <c r="A9" s="3"/>
      <c r="B9" s="7" t="s">
        <v>5</v>
      </c>
      <c r="C9" s="7">
        <f>CountIf(Report!$D$4:$D$25, B9)</f>
        <v>0</v>
      </c>
      <c r="D9" s="3"/>
      <c r="E9" s="4"/>
      <c r="F9" s="5"/>
    </row>
    <row r="10">
      <c r="A10" s="3"/>
      <c r="B10" s="9"/>
      <c r="C10" s="3"/>
      <c r="D10" s="3"/>
      <c r="E10" s="4"/>
      <c r="F10" s="5"/>
    </row>
    <row r="11">
      <c r="A11" s="3"/>
      <c r="B11" s="9"/>
      <c r="C11" s="3"/>
      <c r="D11" s="3"/>
      <c r="E11" s="10"/>
      <c r="F11" s="5"/>
    </row>
    <row r="12">
      <c r="A12" s="3"/>
      <c r="B12" s="9"/>
      <c r="C12" s="3"/>
      <c r="D12" s="3"/>
      <c r="E12" s="10"/>
      <c r="F12" s="5"/>
    </row>
    <row r="13">
      <c r="A13" s="3"/>
      <c r="B13" s="9"/>
      <c r="C13" s="3"/>
      <c r="D13" s="3"/>
      <c r="E13" s="11"/>
      <c r="F13" s="5"/>
    </row>
    <row r="14">
      <c r="A14" s="3"/>
      <c r="B14" s="9"/>
      <c r="C14" s="3"/>
      <c r="D14" s="3"/>
      <c r="E14" s="11"/>
      <c r="F14" s="5"/>
    </row>
    <row r="15">
      <c r="A15" s="3"/>
      <c r="B15" s="6" t="s">
        <v>6</v>
      </c>
      <c r="D15" s="3"/>
      <c r="E15" s="11"/>
      <c r="F15" s="5"/>
    </row>
    <row r="16">
      <c r="A16" s="3"/>
      <c r="B16" s="7" t="s">
        <v>7</v>
      </c>
      <c r="C16" s="7">
        <v>6.0</v>
      </c>
      <c r="D16" s="3"/>
      <c r="E16" s="11"/>
      <c r="F16" s="5"/>
    </row>
    <row r="17">
      <c r="A17" s="3"/>
      <c r="B17" s="7" t="s">
        <v>8</v>
      </c>
      <c r="C17" s="7">
        <f>COUNTIF(Report!$G$4:$G$25, B17)</f>
        <v>2</v>
      </c>
      <c r="D17" s="3"/>
      <c r="E17" s="4"/>
      <c r="F17" s="5"/>
    </row>
    <row r="18">
      <c r="A18" s="3"/>
      <c r="B18" s="7" t="s">
        <v>9</v>
      </c>
      <c r="C18" s="7">
        <f>COUNTIF(Report!$G$4:$G$25, B18)</f>
        <v>0</v>
      </c>
      <c r="D18" s="3"/>
      <c r="E18" s="4"/>
      <c r="F18" s="5"/>
    </row>
    <row r="19">
      <c r="A19" s="3"/>
      <c r="B19" s="7" t="s">
        <v>10</v>
      </c>
      <c r="C19" s="7">
        <v>14.0</v>
      </c>
      <c r="D19" s="3"/>
      <c r="E19" s="4"/>
      <c r="F19" s="5"/>
    </row>
    <row r="20">
      <c r="A20" s="3"/>
      <c r="B20" s="12" t="s">
        <v>11</v>
      </c>
      <c r="C20" s="7">
        <f>COUNTIF(Report!$G$4:$G$25, B20)</f>
        <v>0</v>
      </c>
      <c r="D20" s="3"/>
      <c r="E20" s="4"/>
      <c r="F20" s="5"/>
    </row>
    <row r="21">
      <c r="A21" s="3"/>
      <c r="B21" s="12" t="s">
        <v>12</v>
      </c>
      <c r="C21" s="7">
        <v>0.0</v>
      </c>
      <c r="D21" s="3"/>
      <c r="E21" s="4"/>
      <c r="F21" s="5"/>
    </row>
    <row r="22">
      <c r="A22" s="3"/>
      <c r="B22" s="12" t="s">
        <v>13</v>
      </c>
      <c r="C22" s="7">
        <v>0.0</v>
      </c>
      <c r="D22" s="3"/>
      <c r="E22" s="4"/>
      <c r="F22" s="5"/>
    </row>
    <row r="23">
      <c r="A23" s="3"/>
      <c r="D23" s="3"/>
      <c r="E23" s="4"/>
      <c r="F23" s="5"/>
    </row>
    <row r="24">
      <c r="A24" s="3"/>
      <c r="B24" s="9"/>
      <c r="C24" s="3"/>
      <c r="D24" s="3"/>
      <c r="E24" s="4"/>
      <c r="F24" s="5"/>
    </row>
    <row r="25">
      <c r="A25" s="3"/>
      <c r="B25" s="9"/>
      <c r="C25" s="3"/>
      <c r="D25" s="3"/>
      <c r="E25" s="4"/>
      <c r="F25" s="5"/>
    </row>
    <row r="26">
      <c r="A26" s="13" t="s">
        <v>14</v>
      </c>
      <c r="B26" s="13"/>
      <c r="C26" s="13"/>
    </row>
  </sheetData>
  <mergeCells count="4">
    <mergeCell ref="A1:F1"/>
    <mergeCell ref="B5:C5"/>
    <mergeCell ref="B15:C15"/>
    <mergeCell ref="C26:F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6.38"/>
    <col customWidth="1" min="3" max="3" width="9.13"/>
    <col customWidth="1" min="4" max="4" width="13.75"/>
    <col customWidth="1" min="5" max="5" width="58.25"/>
    <col customWidth="1" min="6" max="6" width="30.13"/>
    <col customWidth="1" min="7" max="7" width="20.75"/>
  </cols>
  <sheetData>
    <row r="1">
      <c r="A1" s="1" t="s">
        <v>15</v>
      </c>
    </row>
    <row r="2">
      <c r="A2" s="14" t="s">
        <v>16</v>
      </c>
    </row>
    <row r="3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</row>
    <row r="4">
      <c r="A4" s="16">
        <v>1.0</v>
      </c>
      <c r="B4" s="17" t="s">
        <v>24</v>
      </c>
      <c r="C4" s="17">
        <v>1.0</v>
      </c>
      <c r="D4" s="16" t="s">
        <v>4</v>
      </c>
      <c r="E4" s="18" t="s">
        <v>25</v>
      </c>
      <c r="F4" s="18" t="s">
        <v>26</v>
      </c>
      <c r="G4" s="19" t="s">
        <v>7</v>
      </c>
    </row>
    <row r="5">
      <c r="A5" s="16">
        <v>2.0</v>
      </c>
      <c r="B5" s="17" t="s">
        <v>27</v>
      </c>
      <c r="C5" s="17">
        <v>6.0</v>
      </c>
      <c r="D5" s="16" t="s">
        <v>2</v>
      </c>
      <c r="E5" s="18" t="s">
        <v>28</v>
      </c>
      <c r="F5" s="18" t="s">
        <v>29</v>
      </c>
      <c r="G5" s="19" t="s">
        <v>8</v>
      </c>
    </row>
    <row r="6">
      <c r="A6" s="16">
        <v>3.0</v>
      </c>
      <c r="B6" s="17" t="s">
        <v>27</v>
      </c>
      <c r="C6" s="17">
        <v>2.0</v>
      </c>
      <c r="D6" s="16" t="s">
        <v>2</v>
      </c>
      <c r="E6" s="18" t="s">
        <v>30</v>
      </c>
      <c r="F6" s="18" t="s">
        <v>29</v>
      </c>
      <c r="G6" s="19" t="s">
        <v>8</v>
      </c>
    </row>
    <row r="7">
      <c r="A7" s="16">
        <v>4.0</v>
      </c>
      <c r="B7" s="17" t="s">
        <v>27</v>
      </c>
      <c r="C7" s="17">
        <v>2.0</v>
      </c>
      <c r="D7" s="16" t="s">
        <v>2</v>
      </c>
      <c r="E7" s="20" t="s">
        <v>31</v>
      </c>
      <c r="F7" s="18"/>
      <c r="G7" s="19" t="s">
        <v>13</v>
      </c>
    </row>
    <row r="8" ht="16.5" customHeight="1">
      <c r="A8" s="16">
        <v>5.0</v>
      </c>
      <c r="B8" s="21" t="s">
        <v>32</v>
      </c>
      <c r="C8" s="17">
        <v>1.0</v>
      </c>
      <c r="D8" s="16" t="s">
        <v>4</v>
      </c>
      <c r="E8" s="22" t="s">
        <v>33</v>
      </c>
      <c r="F8" s="22"/>
      <c r="G8" s="19" t="s">
        <v>7</v>
      </c>
    </row>
    <row r="9">
      <c r="A9" s="16">
        <v>6.0</v>
      </c>
      <c r="B9" s="21" t="s">
        <v>34</v>
      </c>
      <c r="C9" s="16">
        <v>1.0</v>
      </c>
      <c r="D9" s="16" t="s">
        <v>4</v>
      </c>
      <c r="E9" s="20" t="s">
        <v>35</v>
      </c>
      <c r="F9" s="18"/>
      <c r="G9" s="19" t="s">
        <v>7</v>
      </c>
    </row>
    <row r="10">
      <c r="A10" s="23">
        <v>7.0</v>
      </c>
      <c r="B10" s="12"/>
      <c r="C10" s="23"/>
      <c r="D10" s="23"/>
      <c r="E10" s="24"/>
      <c r="F10" s="24"/>
      <c r="G10" s="25"/>
    </row>
    <row r="11">
      <c r="A11" s="23">
        <v>8.0</v>
      </c>
      <c r="B11" s="12"/>
      <c r="C11" s="23"/>
      <c r="D11" s="23"/>
      <c r="E11" s="26"/>
      <c r="F11" s="26"/>
      <c r="G11" s="25"/>
    </row>
    <row r="12">
      <c r="A12" s="23">
        <v>9.0</v>
      </c>
      <c r="B12" s="12"/>
      <c r="C12" s="23"/>
      <c r="D12" s="23"/>
      <c r="E12" s="26"/>
      <c r="F12" s="26"/>
      <c r="G12" s="25"/>
    </row>
    <row r="13">
      <c r="A13" s="23">
        <v>10.0</v>
      </c>
      <c r="B13" s="12"/>
      <c r="C13" s="23"/>
      <c r="D13" s="23"/>
      <c r="E13" s="27"/>
      <c r="F13" s="27"/>
      <c r="G13" s="25"/>
    </row>
    <row r="14">
      <c r="A14" s="23">
        <v>11.0</v>
      </c>
      <c r="B14" s="12"/>
      <c r="C14" s="23"/>
      <c r="D14" s="23"/>
      <c r="E14" s="27"/>
      <c r="F14" s="27"/>
      <c r="G14" s="25"/>
    </row>
    <row r="15">
      <c r="A15" s="23">
        <v>12.0</v>
      </c>
      <c r="B15" s="12"/>
      <c r="C15" s="23"/>
      <c r="D15" s="23"/>
      <c r="E15" s="27"/>
      <c r="F15" s="27"/>
      <c r="G15" s="25"/>
    </row>
    <row r="16">
      <c r="A16" s="23">
        <v>13.0</v>
      </c>
      <c r="B16" s="12"/>
      <c r="C16" s="23"/>
      <c r="D16" s="23"/>
      <c r="E16" s="27"/>
      <c r="F16" s="27"/>
      <c r="G16" s="25"/>
    </row>
    <row r="17">
      <c r="A17" s="23">
        <v>14.0</v>
      </c>
      <c r="B17" s="12"/>
      <c r="C17" s="23"/>
      <c r="D17" s="23"/>
      <c r="E17" s="24"/>
      <c r="F17" s="24"/>
      <c r="G17" s="25"/>
    </row>
    <row r="18">
      <c r="A18" s="23">
        <v>15.0</v>
      </c>
      <c r="B18" s="12"/>
      <c r="C18" s="23"/>
      <c r="D18" s="23"/>
      <c r="E18" s="24"/>
      <c r="F18" s="24"/>
      <c r="G18" s="25"/>
    </row>
    <row r="19">
      <c r="A19" s="23">
        <v>16.0</v>
      </c>
      <c r="B19" s="12"/>
      <c r="C19" s="23"/>
      <c r="D19" s="23"/>
      <c r="E19" s="24"/>
      <c r="F19" s="24"/>
      <c r="G19" s="25"/>
    </row>
    <row r="20">
      <c r="A20" s="23">
        <v>17.0</v>
      </c>
      <c r="B20" s="12"/>
      <c r="C20" s="23"/>
      <c r="D20" s="23"/>
      <c r="E20" s="24"/>
      <c r="F20" s="24"/>
      <c r="G20" s="25"/>
    </row>
    <row r="21">
      <c r="A21" s="23">
        <v>18.0</v>
      </c>
      <c r="B21" s="12"/>
      <c r="C21" s="23"/>
      <c r="D21" s="23"/>
      <c r="E21" s="24"/>
      <c r="F21" s="24"/>
      <c r="G21" s="25"/>
    </row>
    <row r="22">
      <c r="A22" s="23">
        <v>19.0</v>
      </c>
      <c r="B22" s="12"/>
      <c r="C22" s="23"/>
      <c r="D22" s="23"/>
      <c r="E22" s="24"/>
      <c r="F22" s="24"/>
      <c r="G22" s="25"/>
    </row>
    <row r="23">
      <c r="A23" s="23">
        <v>20.0</v>
      </c>
      <c r="B23" s="12"/>
      <c r="C23" s="23"/>
      <c r="D23" s="23"/>
      <c r="E23" s="24"/>
      <c r="F23" s="24"/>
      <c r="G23" s="25"/>
    </row>
    <row r="24">
      <c r="A24" s="23">
        <v>21.0</v>
      </c>
      <c r="B24" s="12"/>
      <c r="C24" s="23"/>
      <c r="D24" s="23"/>
      <c r="E24" s="24"/>
      <c r="F24" s="24"/>
      <c r="G24" s="25"/>
    </row>
    <row r="25">
      <c r="A25" s="23">
        <v>22.0</v>
      </c>
      <c r="B25" s="12"/>
      <c r="C25" s="23"/>
      <c r="D25" s="23"/>
      <c r="E25" s="24"/>
      <c r="F25" s="24"/>
      <c r="G25" s="25"/>
    </row>
    <row r="26">
      <c r="A26" s="13" t="s">
        <v>14</v>
      </c>
      <c r="B26" s="13"/>
      <c r="C26" s="13" t="s">
        <v>36</v>
      </c>
    </row>
  </sheetData>
  <mergeCells count="3">
    <mergeCell ref="A1:G1"/>
    <mergeCell ref="A2:G2"/>
    <mergeCell ref="C26:G26"/>
  </mergeCells>
  <dataValidations>
    <dataValidation type="list" allowBlank="1" showErrorMessage="1" sqref="D4:D25">
      <formula1>"Baixo,Médio,Alto,Crítico"</formula1>
    </dataValidation>
    <dataValidation type="list" allowBlank="1" showErrorMessage="1" sqref="G4:G25">
      <formula1>"Aberto,Dev,Reteste,Corrigido,Impedimento,Fora de Escopo,Duplicado"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43.38"/>
    <col customWidth="1" min="5" max="5" width="40.25"/>
    <col customWidth="1" min="6" max="6" width="10.25"/>
  </cols>
  <sheetData>
    <row r="1">
      <c r="A1" s="1" t="s">
        <v>37</v>
      </c>
    </row>
    <row r="2">
      <c r="A2" s="28" t="s">
        <v>38</v>
      </c>
    </row>
    <row r="3">
      <c r="A3" s="29" t="s">
        <v>39</v>
      </c>
    </row>
    <row r="4">
      <c r="A4" s="29" t="s">
        <v>40</v>
      </c>
    </row>
    <row r="5">
      <c r="A5" s="15" t="s">
        <v>41</v>
      </c>
      <c r="B5" s="15" t="s">
        <v>42</v>
      </c>
      <c r="C5" s="30" t="s">
        <v>43</v>
      </c>
      <c r="D5" s="30" t="s">
        <v>44</v>
      </c>
      <c r="E5" s="15" t="s">
        <v>45</v>
      </c>
      <c r="F5" s="15" t="s">
        <v>46</v>
      </c>
    </row>
    <row r="6">
      <c r="A6" s="31" t="s">
        <v>47</v>
      </c>
      <c r="B6" s="31" t="s">
        <v>48</v>
      </c>
      <c r="C6" s="32">
        <v>1.0</v>
      </c>
      <c r="D6" s="27" t="s">
        <v>49</v>
      </c>
      <c r="E6" s="27" t="s">
        <v>50</v>
      </c>
      <c r="F6" s="33" t="b">
        <v>0</v>
      </c>
    </row>
    <row r="7">
      <c r="A7" s="34"/>
      <c r="B7" s="34"/>
      <c r="C7" s="32">
        <v>2.0</v>
      </c>
      <c r="D7" s="27" t="s">
        <v>51</v>
      </c>
      <c r="E7" s="27" t="s">
        <v>52</v>
      </c>
      <c r="F7" s="33" t="b">
        <v>0</v>
      </c>
    </row>
    <row r="8">
      <c r="A8" s="34"/>
      <c r="B8" s="34"/>
      <c r="C8" s="32">
        <v>3.0</v>
      </c>
      <c r="D8" s="27" t="s">
        <v>53</v>
      </c>
      <c r="E8" s="27" t="s">
        <v>52</v>
      </c>
      <c r="F8" s="33" t="b">
        <v>0</v>
      </c>
    </row>
    <row r="9">
      <c r="A9" s="34"/>
      <c r="B9" s="34"/>
      <c r="C9" s="32">
        <v>4.0</v>
      </c>
      <c r="D9" s="27" t="s">
        <v>54</v>
      </c>
      <c r="E9" s="27" t="s">
        <v>55</v>
      </c>
      <c r="F9" s="33" t="b">
        <v>0</v>
      </c>
    </row>
    <row r="10">
      <c r="A10" s="34"/>
      <c r="B10" s="34"/>
      <c r="C10" s="32">
        <v>5.0</v>
      </c>
      <c r="D10" s="27" t="s">
        <v>56</v>
      </c>
      <c r="E10" s="27" t="s">
        <v>57</v>
      </c>
      <c r="F10" s="33" t="b">
        <v>0</v>
      </c>
    </row>
    <row r="11">
      <c r="A11" s="34"/>
      <c r="B11" s="34"/>
      <c r="C11" s="32">
        <v>6.0</v>
      </c>
      <c r="D11" s="27" t="s">
        <v>58</v>
      </c>
      <c r="E11" s="27" t="s">
        <v>59</v>
      </c>
      <c r="F11" s="33" t="b">
        <v>0</v>
      </c>
    </row>
    <row r="12">
      <c r="A12" s="34"/>
      <c r="B12" s="34"/>
      <c r="C12" s="32">
        <v>7.0</v>
      </c>
      <c r="D12" s="27" t="s">
        <v>60</v>
      </c>
      <c r="E12" s="27" t="s">
        <v>59</v>
      </c>
      <c r="F12" s="33" t="b">
        <v>0</v>
      </c>
    </row>
    <row r="13">
      <c r="A13" s="34"/>
      <c r="B13" s="34"/>
      <c r="C13" s="32">
        <v>8.0</v>
      </c>
      <c r="D13" s="27" t="s">
        <v>61</v>
      </c>
      <c r="E13" s="27" t="s">
        <v>62</v>
      </c>
      <c r="F13" s="33" t="b">
        <v>0</v>
      </c>
    </row>
    <row r="14">
      <c r="A14" s="34"/>
      <c r="B14" s="34"/>
      <c r="C14" s="32">
        <v>9.0</v>
      </c>
      <c r="D14" s="27" t="s">
        <v>63</v>
      </c>
      <c r="E14" s="27" t="s">
        <v>62</v>
      </c>
      <c r="F14" s="33" t="b">
        <v>0</v>
      </c>
    </row>
    <row r="15">
      <c r="A15" s="34"/>
      <c r="B15" s="34"/>
      <c r="C15" s="32">
        <v>10.0</v>
      </c>
      <c r="D15" s="27" t="s">
        <v>64</v>
      </c>
      <c r="E15" s="27" t="s">
        <v>65</v>
      </c>
      <c r="F15" s="33" t="b">
        <v>0</v>
      </c>
    </row>
    <row r="16">
      <c r="A16" s="34"/>
      <c r="B16" s="34"/>
      <c r="C16" s="32">
        <v>11.0</v>
      </c>
      <c r="D16" s="27" t="s">
        <v>66</v>
      </c>
      <c r="E16" s="27" t="s">
        <v>67</v>
      </c>
      <c r="F16" s="33" t="b">
        <v>0</v>
      </c>
    </row>
    <row r="17">
      <c r="A17" s="34"/>
      <c r="B17" s="34"/>
      <c r="C17" s="32">
        <v>12.0</v>
      </c>
      <c r="D17" s="27" t="s">
        <v>68</v>
      </c>
      <c r="E17" s="27" t="s">
        <v>67</v>
      </c>
      <c r="F17" s="33" t="b">
        <v>0</v>
      </c>
    </row>
    <row r="18">
      <c r="A18" s="34"/>
      <c r="B18" s="31" t="s">
        <v>69</v>
      </c>
      <c r="C18" s="32">
        <v>13.0</v>
      </c>
      <c r="D18" s="27" t="s">
        <v>70</v>
      </c>
      <c r="E18" s="27" t="s">
        <v>71</v>
      </c>
      <c r="F18" s="33" t="b">
        <v>0</v>
      </c>
    </row>
    <row r="19">
      <c r="A19" s="34"/>
      <c r="B19" s="34"/>
      <c r="C19" s="32">
        <v>14.0</v>
      </c>
      <c r="D19" s="27" t="s">
        <v>72</v>
      </c>
      <c r="E19" s="27" t="s">
        <v>55</v>
      </c>
      <c r="F19" s="33" t="b">
        <v>0</v>
      </c>
    </row>
    <row r="20">
      <c r="A20" s="34"/>
      <c r="B20" s="34"/>
      <c r="C20" s="32">
        <v>15.0</v>
      </c>
      <c r="D20" s="27" t="s">
        <v>73</v>
      </c>
      <c r="E20" s="27" t="s">
        <v>74</v>
      </c>
      <c r="F20" s="33" t="b">
        <v>0</v>
      </c>
    </row>
    <row r="21">
      <c r="A21" s="34"/>
      <c r="B21" s="34"/>
      <c r="C21" s="32">
        <v>16.0</v>
      </c>
      <c r="D21" s="27" t="s">
        <v>75</v>
      </c>
      <c r="E21" s="27" t="s">
        <v>52</v>
      </c>
      <c r="F21" s="33" t="b">
        <v>0</v>
      </c>
    </row>
    <row r="22">
      <c r="A22" s="34"/>
      <c r="B22" s="34"/>
      <c r="C22" s="32">
        <v>17.0</v>
      </c>
      <c r="D22" s="27" t="s">
        <v>76</v>
      </c>
      <c r="E22" s="27" t="s">
        <v>77</v>
      </c>
      <c r="F22" s="33" t="b">
        <v>0</v>
      </c>
    </row>
    <row r="23">
      <c r="A23" s="34"/>
      <c r="B23" s="34"/>
      <c r="C23" s="32">
        <v>18.0</v>
      </c>
      <c r="D23" s="27" t="s">
        <v>78</v>
      </c>
      <c r="E23" s="27" t="s">
        <v>59</v>
      </c>
      <c r="F23" s="33" t="b">
        <v>0</v>
      </c>
    </row>
    <row r="24">
      <c r="A24" s="34"/>
      <c r="B24" s="34"/>
      <c r="C24" s="32">
        <v>19.0</v>
      </c>
      <c r="D24" s="27" t="s">
        <v>79</v>
      </c>
      <c r="E24" s="27" t="s">
        <v>59</v>
      </c>
      <c r="F24" s="33" t="b">
        <v>0</v>
      </c>
    </row>
    <row r="25">
      <c r="A25" s="34"/>
      <c r="B25" s="34"/>
      <c r="C25" s="32">
        <v>20.0</v>
      </c>
      <c r="D25" s="27" t="s">
        <v>80</v>
      </c>
      <c r="E25" s="27" t="s">
        <v>81</v>
      </c>
      <c r="F25" s="33" t="b">
        <v>0</v>
      </c>
    </row>
    <row r="26">
      <c r="A26" s="34"/>
      <c r="B26" s="34"/>
      <c r="C26" s="32">
        <v>21.0</v>
      </c>
      <c r="D26" s="27" t="s">
        <v>82</v>
      </c>
      <c r="E26" s="27" t="s">
        <v>62</v>
      </c>
      <c r="F26" s="33" t="b">
        <v>0</v>
      </c>
    </row>
    <row r="27">
      <c r="A27" s="34"/>
      <c r="B27" s="34"/>
      <c r="C27" s="32">
        <v>22.0</v>
      </c>
      <c r="D27" s="27" t="s">
        <v>83</v>
      </c>
      <c r="E27" s="27" t="s">
        <v>65</v>
      </c>
      <c r="F27" s="33" t="b">
        <v>0</v>
      </c>
    </row>
    <row r="28">
      <c r="A28" s="34"/>
      <c r="B28" s="34"/>
      <c r="C28" s="32">
        <v>23.0</v>
      </c>
      <c r="D28" s="27" t="s">
        <v>84</v>
      </c>
      <c r="E28" s="27" t="s">
        <v>65</v>
      </c>
      <c r="F28" s="33" t="b">
        <v>0</v>
      </c>
    </row>
    <row r="29">
      <c r="A29" s="34"/>
      <c r="B29" s="35"/>
      <c r="C29" s="32">
        <v>24.0</v>
      </c>
      <c r="D29" s="27" t="s">
        <v>85</v>
      </c>
      <c r="E29" s="27" t="s">
        <v>65</v>
      </c>
      <c r="F29" s="33" t="b">
        <v>0</v>
      </c>
    </row>
    <row r="30">
      <c r="A30" s="34"/>
      <c r="B30" s="31" t="s">
        <v>86</v>
      </c>
      <c r="C30" s="32">
        <v>25.0</v>
      </c>
      <c r="D30" s="27" t="s">
        <v>87</v>
      </c>
      <c r="E30" s="27" t="s">
        <v>88</v>
      </c>
      <c r="F30" s="33" t="b">
        <v>0</v>
      </c>
    </row>
    <row r="31">
      <c r="A31" s="34"/>
      <c r="B31" s="34"/>
      <c r="C31" s="32">
        <v>26.0</v>
      </c>
      <c r="D31" s="27" t="s">
        <v>89</v>
      </c>
      <c r="E31" s="27" t="s">
        <v>90</v>
      </c>
      <c r="F31" s="33" t="b">
        <v>0</v>
      </c>
    </row>
    <row r="32">
      <c r="A32" s="34"/>
      <c r="B32" s="34"/>
      <c r="C32" s="32">
        <v>27.0</v>
      </c>
      <c r="D32" s="27" t="s">
        <v>91</v>
      </c>
      <c r="E32" s="27" t="s">
        <v>90</v>
      </c>
      <c r="F32" s="33" t="b">
        <v>0</v>
      </c>
    </row>
    <row r="33">
      <c r="A33" s="34"/>
      <c r="B33" s="34"/>
      <c r="C33" s="32">
        <v>28.0</v>
      </c>
      <c r="D33" s="27" t="s">
        <v>92</v>
      </c>
      <c r="E33" s="27" t="s">
        <v>93</v>
      </c>
      <c r="F33" s="33" t="b">
        <v>0</v>
      </c>
    </row>
    <row r="34">
      <c r="A34" s="34"/>
      <c r="B34" s="34"/>
      <c r="C34" s="32">
        <v>29.0</v>
      </c>
      <c r="D34" s="27" t="s">
        <v>94</v>
      </c>
      <c r="E34" s="27" t="s">
        <v>95</v>
      </c>
      <c r="F34" s="33" t="b">
        <v>0</v>
      </c>
    </row>
    <row r="35">
      <c r="A35" s="34"/>
      <c r="B35" s="34"/>
      <c r="C35" s="32">
        <v>30.0</v>
      </c>
      <c r="D35" s="27" t="s">
        <v>96</v>
      </c>
      <c r="E35" s="27" t="s">
        <v>59</v>
      </c>
      <c r="F35" s="33" t="b">
        <v>0</v>
      </c>
    </row>
    <row r="36">
      <c r="A36" s="34"/>
      <c r="B36" s="34"/>
      <c r="C36" s="32">
        <v>31.0</v>
      </c>
      <c r="D36" s="27" t="s">
        <v>97</v>
      </c>
      <c r="E36" s="27" t="s">
        <v>59</v>
      </c>
      <c r="F36" s="33" t="b">
        <v>0</v>
      </c>
    </row>
    <row r="37">
      <c r="A37" s="34"/>
      <c r="B37" s="34"/>
      <c r="C37" s="32">
        <v>32.0</v>
      </c>
      <c r="D37" s="27" t="s">
        <v>98</v>
      </c>
      <c r="E37" s="27" t="s">
        <v>99</v>
      </c>
      <c r="F37" s="33" t="b">
        <v>0</v>
      </c>
    </row>
    <row r="38">
      <c r="A38" s="34"/>
      <c r="B38" s="34"/>
      <c r="C38" s="32">
        <v>33.0</v>
      </c>
      <c r="D38" s="27" t="s">
        <v>100</v>
      </c>
      <c r="E38" s="27" t="s">
        <v>99</v>
      </c>
      <c r="F38" s="33" t="b">
        <v>0</v>
      </c>
    </row>
    <row r="39">
      <c r="A39" s="34"/>
      <c r="B39" s="34"/>
      <c r="C39" s="32">
        <v>34.0</v>
      </c>
      <c r="D39" s="27" t="s">
        <v>101</v>
      </c>
      <c r="E39" s="27" t="s">
        <v>65</v>
      </c>
      <c r="F39" s="33" t="b">
        <v>0</v>
      </c>
    </row>
    <row r="40">
      <c r="A40" s="34"/>
      <c r="B40" s="34"/>
      <c r="C40" s="32">
        <v>35.0</v>
      </c>
      <c r="D40" s="27" t="s">
        <v>102</v>
      </c>
      <c r="E40" s="27" t="s">
        <v>65</v>
      </c>
      <c r="F40" s="33" t="b">
        <v>0</v>
      </c>
    </row>
    <row r="41">
      <c r="A41" s="34"/>
      <c r="B41" s="35"/>
      <c r="C41" s="32">
        <v>36.0</v>
      </c>
      <c r="D41" s="27" t="s">
        <v>103</v>
      </c>
      <c r="E41" s="27" t="s">
        <v>65</v>
      </c>
      <c r="F41" s="33" t="b">
        <v>0</v>
      </c>
    </row>
    <row r="42">
      <c r="A42" s="34"/>
      <c r="B42" s="31" t="s">
        <v>104</v>
      </c>
      <c r="C42" s="32">
        <v>37.0</v>
      </c>
      <c r="D42" s="27" t="s">
        <v>105</v>
      </c>
      <c r="E42" s="27" t="s">
        <v>106</v>
      </c>
      <c r="F42" s="33" t="b">
        <v>0</v>
      </c>
    </row>
    <row r="43">
      <c r="A43" s="34"/>
      <c r="B43" s="34"/>
      <c r="C43" s="32">
        <v>38.0</v>
      </c>
      <c r="D43" s="27" t="s">
        <v>107</v>
      </c>
      <c r="E43" s="27" t="s">
        <v>108</v>
      </c>
      <c r="F43" s="33" t="b">
        <v>0</v>
      </c>
    </row>
    <row r="44">
      <c r="A44" s="34"/>
      <c r="B44" s="34"/>
      <c r="C44" s="32">
        <v>39.0</v>
      </c>
      <c r="D44" s="27" t="s">
        <v>109</v>
      </c>
      <c r="E44" s="27" t="s">
        <v>110</v>
      </c>
      <c r="F44" s="33" t="b">
        <v>0</v>
      </c>
    </row>
    <row r="45">
      <c r="A45" s="34"/>
      <c r="B45" s="34"/>
      <c r="C45" s="32">
        <v>40.0</v>
      </c>
      <c r="D45" s="27" t="s">
        <v>111</v>
      </c>
      <c r="E45" s="27" t="s">
        <v>52</v>
      </c>
      <c r="F45" s="33" t="b">
        <v>0</v>
      </c>
    </row>
    <row r="46">
      <c r="A46" s="34"/>
      <c r="B46" s="34"/>
      <c r="C46" s="32">
        <v>41.0</v>
      </c>
      <c r="D46" s="27" t="s">
        <v>112</v>
      </c>
      <c r="E46" s="27" t="s">
        <v>113</v>
      </c>
      <c r="F46" s="33" t="b">
        <v>0</v>
      </c>
    </row>
    <row r="47">
      <c r="A47" s="34"/>
      <c r="B47" s="34"/>
      <c r="C47" s="32">
        <v>42.0</v>
      </c>
      <c r="D47" s="27" t="s">
        <v>114</v>
      </c>
      <c r="E47" s="27" t="s">
        <v>59</v>
      </c>
      <c r="F47" s="33" t="b">
        <v>0</v>
      </c>
    </row>
    <row r="48">
      <c r="A48" s="34"/>
      <c r="B48" s="34"/>
      <c r="C48" s="32">
        <v>43.0</v>
      </c>
      <c r="D48" s="27" t="s">
        <v>115</v>
      </c>
      <c r="E48" s="27" t="s">
        <v>59</v>
      </c>
      <c r="F48" s="33" t="b">
        <v>0</v>
      </c>
    </row>
    <row r="49">
      <c r="A49" s="34"/>
      <c r="B49" s="34"/>
      <c r="C49" s="32">
        <v>44.0</v>
      </c>
      <c r="D49" s="27" t="s">
        <v>116</v>
      </c>
      <c r="E49" s="27" t="s">
        <v>99</v>
      </c>
      <c r="F49" s="33" t="b">
        <v>0</v>
      </c>
    </row>
    <row r="50">
      <c r="A50" s="34"/>
      <c r="B50" s="34"/>
      <c r="C50" s="32">
        <v>45.0</v>
      </c>
      <c r="D50" s="27" t="s">
        <v>117</v>
      </c>
      <c r="E50" s="27" t="s">
        <v>118</v>
      </c>
      <c r="F50" s="33" t="b">
        <v>0</v>
      </c>
    </row>
    <row r="51">
      <c r="A51" s="34"/>
      <c r="B51" s="34"/>
      <c r="C51" s="32">
        <v>46.0</v>
      </c>
      <c r="D51" s="27" t="s">
        <v>119</v>
      </c>
      <c r="E51" s="27" t="s">
        <v>65</v>
      </c>
      <c r="F51" s="33" t="b">
        <v>0</v>
      </c>
    </row>
    <row r="52">
      <c r="A52" s="34"/>
      <c r="B52" s="34"/>
      <c r="C52" s="32">
        <v>47.0</v>
      </c>
      <c r="D52" s="27" t="s">
        <v>120</v>
      </c>
      <c r="E52" s="27" t="s">
        <v>65</v>
      </c>
      <c r="F52" s="33" t="b">
        <v>0</v>
      </c>
    </row>
    <row r="53">
      <c r="A53" s="34"/>
      <c r="B53" s="35"/>
      <c r="C53" s="32">
        <v>48.0</v>
      </c>
      <c r="D53" s="27" t="s">
        <v>121</v>
      </c>
      <c r="E53" s="27" t="s">
        <v>65</v>
      </c>
      <c r="F53" s="33" t="b">
        <v>0</v>
      </c>
    </row>
    <row r="54">
      <c r="A54" s="34"/>
      <c r="B54" s="36" t="s">
        <v>122</v>
      </c>
      <c r="C54" s="32">
        <v>49.0</v>
      </c>
      <c r="D54" s="26" t="s">
        <v>123</v>
      </c>
      <c r="E54" s="26" t="s">
        <v>124</v>
      </c>
      <c r="F54" s="37" t="b">
        <v>0</v>
      </c>
    </row>
    <row r="55">
      <c r="A55" s="34"/>
      <c r="C55" s="32">
        <v>50.0</v>
      </c>
      <c r="D55" s="26" t="s">
        <v>125</v>
      </c>
      <c r="E55" s="26" t="s">
        <v>126</v>
      </c>
      <c r="F55" s="37" t="b">
        <v>0</v>
      </c>
    </row>
    <row r="56">
      <c r="A56" s="34"/>
      <c r="C56" s="32">
        <v>51.0</v>
      </c>
      <c r="D56" s="26" t="s">
        <v>127</v>
      </c>
      <c r="E56" s="26" t="s">
        <v>128</v>
      </c>
      <c r="F56" s="37" t="b">
        <v>0</v>
      </c>
    </row>
    <row r="57">
      <c r="A57" s="34"/>
      <c r="C57" s="32">
        <v>52.0</v>
      </c>
      <c r="D57" s="26" t="s">
        <v>129</v>
      </c>
      <c r="E57" s="26" t="s">
        <v>130</v>
      </c>
      <c r="F57" s="37" t="b">
        <v>0</v>
      </c>
    </row>
    <row r="58">
      <c r="A58" s="34"/>
      <c r="C58" s="32">
        <v>53.0</v>
      </c>
      <c r="D58" s="26" t="s">
        <v>131</v>
      </c>
      <c r="E58" s="26" t="s">
        <v>132</v>
      </c>
      <c r="F58" s="37" t="b">
        <v>0</v>
      </c>
    </row>
    <row r="59">
      <c r="A59" s="34"/>
      <c r="C59" s="32">
        <v>54.0</v>
      </c>
      <c r="D59" s="26" t="s">
        <v>133</v>
      </c>
      <c r="E59" s="27" t="s">
        <v>59</v>
      </c>
      <c r="F59" s="37" t="b">
        <v>0</v>
      </c>
    </row>
    <row r="60">
      <c r="A60" s="34"/>
      <c r="C60" s="32">
        <v>55.0</v>
      </c>
      <c r="D60" s="26" t="s">
        <v>134</v>
      </c>
      <c r="E60" s="27" t="s">
        <v>59</v>
      </c>
      <c r="F60" s="37" t="b">
        <v>0</v>
      </c>
    </row>
    <row r="61">
      <c r="A61" s="34"/>
      <c r="C61" s="32">
        <v>56.0</v>
      </c>
      <c r="D61" s="26" t="s">
        <v>135</v>
      </c>
      <c r="E61" s="27" t="s">
        <v>99</v>
      </c>
      <c r="F61" s="37" t="b">
        <v>0</v>
      </c>
    </row>
    <row r="62">
      <c r="A62" s="34"/>
      <c r="C62" s="32">
        <v>57.0</v>
      </c>
      <c r="D62" s="26" t="s">
        <v>136</v>
      </c>
      <c r="E62" s="26" t="s">
        <v>62</v>
      </c>
      <c r="F62" s="37" t="b">
        <v>0</v>
      </c>
    </row>
    <row r="63">
      <c r="A63" s="34"/>
      <c r="C63" s="32">
        <v>58.0</v>
      </c>
      <c r="D63" s="26" t="s">
        <v>137</v>
      </c>
      <c r="E63" s="27" t="s">
        <v>65</v>
      </c>
      <c r="F63" s="37" t="b">
        <v>0</v>
      </c>
    </row>
    <row r="64">
      <c r="A64" s="34"/>
      <c r="C64" s="32">
        <v>59.0</v>
      </c>
      <c r="D64" s="26" t="s">
        <v>138</v>
      </c>
      <c r="E64" s="27" t="s">
        <v>65</v>
      </c>
      <c r="F64" s="37" t="b">
        <v>0</v>
      </c>
    </row>
    <row r="65">
      <c r="A65" s="34"/>
      <c r="C65" s="32">
        <v>60.0</v>
      </c>
      <c r="D65" s="26" t="s">
        <v>139</v>
      </c>
      <c r="E65" s="27" t="s">
        <v>65</v>
      </c>
      <c r="F65" s="37" t="b">
        <v>0</v>
      </c>
    </row>
    <row r="66">
      <c r="A66" s="34"/>
      <c r="B66" s="38" t="s">
        <v>140</v>
      </c>
      <c r="C66" s="32">
        <v>61.0</v>
      </c>
      <c r="D66" s="26" t="s">
        <v>141</v>
      </c>
      <c r="E66" s="26" t="s">
        <v>142</v>
      </c>
      <c r="F66" s="37" t="b">
        <v>0</v>
      </c>
    </row>
    <row r="67">
      <c r="A67" s="34"/>
      <c r="B67" s="34"/>
      <c r="C67" s="32">
        <v>63.0</v>
      </c>
      <c r="D67" s="26" t="s">
        <v>143</v>
      </c>
      <c r="E67" s="26" t="s">
        <v>144</v>
      </c>
      <c r="F67" s="37" t="b">
        <v>0</v>
      </c>
    </row>
    <row r="68">
      <c r="A68" s="34"/>
      <c r="B68" s="34"/>
      <c r="C68" s="32">
        <v>65.0</v>
      </c>
      <c r="D68" s="26" t="s">
        <v>145</v>
      </c>
      <c r="E68" s="26" t="s">
        <v>146</v>
      </c>
      <c r="F68" s="37" t="b">
        <v>0</v>
      </c>
    </row>
    <row r="69">
      <c r="A69" s="34"/>
      <c r="B69" s="34"/>
      <c r="C69" s="32">
        <v>66.0</v>
      </c>
      <c r="D69" s="26" t="s">
        <v>147</v>
      </c>
      <c r="E69" s="27" t="s">
        <v>59</v>
      </c>
      <c r="F69" s="37" t="b">
        <v>0</v>
      </c>
    </row>
    <row r="70">
      <c r="A70" s="34"/>
      <c r="B70" s="34"/>
      <c r="C70" s="32">
        <v>68.0</v>
      </c>
      <c r="D70" s="26" t="s">
        <v>148</v>
      </c>
      <c r="E70" s="27" t="s">
        <v>99</v>
      </c>
      <c r="F70" s="37" t="b">
        <v>0</v>
      </c>
    </row>
    <row r="71">
      <c r="A71" s="34"/>
      <c r="B71" s="35"/>
      <c r="C71" s="32">
        <v>70.0</v>
      </c>
      <c r="D71" s="26" t="s">
        <v>149</v>
      </c>
      <c r="E71" s="27" t="s">
        <v>65</v>
      </c>
      <c r="F71" s="37" t="b">
        <v>0</v>
      </c>
    </row>
  </sheetData>
  <mergeCells count="11">
    <mergeCell ref="B30:B41"/>
    <mergeCell ref="B42:B53"/>
    <mergeCell ref="B54:B65"/>
    <mergeCell ref="B66:B71"/>
    <mergeCell ref="A6:A71"/>
    <mergeCell ref="A1:F1"/>
    <mergeCell ref="A2:F2"/>
    <mergeCell ref="A3:F3"/>
    <mergeCell ref="A4:F4"/>
    <mergeCell ref="B6:B17"/>
    <mergeCell ref="B18:B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